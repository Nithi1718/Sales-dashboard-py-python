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80d8cf5f76cb9d/Dokumen/"/>
    </mc:Choice>
  </mc:AlternateContent>
  <xr:revisionPtr revIDLastSave="0" documentId="8_{848A855B-5DA5-448C-A532-F45016AA7139}" xr6:coauthVersionLast="47" xr6:coauthVersionMax="47" xr10:uidLastSave="{00000000-0000-0000-0000-000000000000}"/>
  <bookViews>
    <workbookView xWindow="-108" yWindow="-108" windowWidth="23256" windowHeight="12456" xr2:uid="{CCC84542-040A-49AB-8298-D7577C8AD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1" i="1" l="1"/>
  <c r="C11" i="1"/>
  <c r="C10" i="1"/>
  <c r="U10" i="1" s="1"/>
  <c r="C9" i="1"/>
  <c r="U9" i="1" s="1"/>
  <c r="C8" i="1"/>
  <c r="U8" i="1" s="1"/>
  <c r="C7" i="1"/>
  <c r="U7" i="1" s="1"/>
  <c r="C6" i="1"/>
  <c r="U6" i="1" s="1"/>
  <c r="C5" i="1"/>
  <c r="U5" i="1" s="1"/>
  <c r="C4" i="1"/>
  <c r="U4" i="1" s="1"/>
  <c r="C3" i="1"/>
  <c r="U3" i="1" s="1"/>
  <c r="C2" i="1"/>
  <c r="U2" i="1" s="1"/>
</calcChain>
</file>

<file path=xl/sharedStrings.xml><?xml version="1.0" encoding="utf-8"?>
<sst xmlns="http://schemas.openxmlformats.org/spreadsheetml/2006/main" count="121" uniqueCount="69">
  <si>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</si>
  <si>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</si>
  <si>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</si>
  <si>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</si>
  <si>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</si>
  <si>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</si>
  <si>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</si>
  <si>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</si>
  <si>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</si>
  <si>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</si>
  <si>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</si>
  <si>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</si>
  <si>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</si>
  <si>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</si>
  <si>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</si>
  <si>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</si>
  <si>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</si>
  <si>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</si>
  <si>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</si>
  <si>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</si>
  <si>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</si>
  <si>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</si>
  <si>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</si>
  <si>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</si>
  <si>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</si>
  <si>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</si>
  <si>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</si>
  <si>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</si>
  <si>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</si>
  <si>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</si>
  <si>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Not Specified</t>
  </si>
  <si>
    <t>Ruben Dartt</t>
  </si>
  <si>
    <t>Alberta</t>
  </si>
  <si>
    <t>West</t>
  </si>
  <si>
    <t>Corporate</t>
  </si>
  <si>
    <t>Scissors, Rulers and Trimmers</t>
  </si>
  <si>
    <t>Kleencut® Forged Office Shears by Acme United Corporation</t>
  </si>
  <si>
    <t>Small Pack</t>
  </si>
  <si>
    <t>High</t>
  </si>
  <si>
    <t>Liz Pelletier</t>
  </si>
  <si>
    <t>Furniture</t>
  </si>
  <si>
    <t>Office Furnishings</t>
  </si>
  <si>
    <t>Tenex Contemporary Contur Chairmats for Low and Medium Pile Carpet, Computer, 39" x 49"</t>
  </si>
  <si>
    <t>Medium Box</t>
  </si>
  <si>
    <t>Delivery Truck</t>
  </si>
  <si>
    <t>Tables</t>
  </si>
  <si>
    <t>KI Conference Tables</t>
  </si>
  <si>
    <t>Jumbo Box</t>
  </si>
  <si>
    <t>Technology</t>
  </si>
  <si>
    <t>Telephones and Communication</t>
  </si>
  <si>
    <t>Bell Sonecor JB700 Caller ID</t>
  </si>
  <si>
    <t>Saskachewan</t>
  </si>
  <si>
    <t>Prarie</t>
  </si>
  <si>
    <t>Computer Peripherals</t>
  </si>
  <si>
    <t>Imation 3.5 IBM Diskettes, 10/Box</t>
  </si>
  <si>
    <t>Julie Creighton</t>
  </si>
  <si>
    <t>British Columbia</t>
  </si>
  <si>
    <t>Pens &amp; Art Supplies</t>
  </si>
  <si>
    <t>Dixon Ticonderoga Core-Lock Colored Pencils</t>
  </si>
  <si>
    <t>Wrap Bag</t>
  </si>
  <si>
    <t>CF 688</t>
  </si>
  <si>
    <t>Small Box</t>
  </si>
  <si>
    <t>Critical</t>
  </si>
  <si>
    <t>Sample Company A</t>
  </si>
  <si>
    <t>Home Office</t>
  </si>
  <si>
    <t>6162i</t>
  </si>
  <si>
    <t>Tamara Dahlen</t>
  </si>
  <si>
    <t>Ontario</t>
  </si>
  <si>
    <t>Verbatim DVD-R, 4.7GB, Spindle, WE, Blank, Ink Jet/Thermal, 20/Spindle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</si>
</sst>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quotePrefix="1"/>
    <xf numFmtId="14" fontId="0" fillId="0" borderId="0" xfId="1" quotePrefix="1" applyNumberFormat="1" applyFont="1" applyFill="1"/>
    <xf numFmtId="2" fontId="3" fillId="0" borderId="0" xfId="0" applyNumberFormat="1" applyFont="1"/>
    <xf numFmtId="0" fontId="0" fillId="0" borderId="0" xfId="1" applyNumberFormat="1" applyFont="1" applyFill="1"/>
    <xf numFmtId="0" fontId="3" fillId="0" borderId="0" xfId="0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935F-51EA-4B5E-BE3D-C313E852A138}">
  <dimension ref="A1:U11"/>
  <sheetViews>
    <sheetView tabSelected="1" workbookViewId="0">
      <selection activeCell="U12" sqref="U12"/>
    </sheetView>
  </sheetViews>
  <sheetFormatPr defaultRowHeight="14.4" x14ac:dyDescent="0.3"/>
  <cols>
    <col min="3" max="3" width="11.109375" bestFit="1" customWidth="1"/>
    <col min="21" max="21" width="12.109375" customWidth="1"/>
  </cols>
  <sheetData>
    <row r="1" spans="1:21" s="6" customFormat="1" ht="25.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3" t="s">
        <v>19</v>
      </c>
      <c r="U1" s="2" t="s">
        <v>20</v>
      </c>
    </row>
    <row r="2" spans="1:21" x14ac:dyDescent="0.3">
      <c r="A2">
        <v>1</v>
      </c>
      <c r="B2" s="7">
        <v>3</v>
      </c>
      <c r="C2" s="8">
        <f>DATE(2012,12,31)-810</f>
        <v>40464</v>
      </c>
      <c r="D2" t="s">
        <v>21</v>
      </c>
      <c r="E2" s="7">
        <v>6</v>
      </c>
      <c r="F2" s="7">
        <v>261.54000000000002</v>
      </c>
      <c r="G2" s="7">
        <v>0.04</v>
      </c>
      <c r="H2" t="s">
        <v>22</v>
      </c>
      <c r="I2" s="9">
        <v>-213.25</v>
      </c>
      <c r="J2" s="10">
        <v>38.94</v>
      </c>
      <c r="K2" s="10">
        <v>35</v>
      </c>
      <c r="L2" t="s">
        <v>23</v>
      </c>
      <c r="M2" s="11" t="s">
        <v>24</v>
      </c>
      <c r="N2" s="11" t="s">
        <v>24</v>
      </c>
      <c r="O2" t="s">
        <v>25</v>
      </c>
      <c r="P2" t="s">
        <v>26</v>
      </c>
      <c r="Q2" t="s">
        <v>27</v>
      </c>
      <c r="R2" s="7" t="s">
        <v>28</v>
      </c>
      <c r="S2" t="s">
        <v>29</v>
      </c>
      <c r="T2" s="7">
        <v>0.8</v>
      </c>
      <c r="U2" s="12">
        <f>C2+7</f>
        <v>40471</v>
      </c>
    </row>
    <row r="3" spans="1:21" x14ac:dyDescent="0.3">
      <c r="A3">
        <v>2</v>
      </c>
      <c r="B3" s="7">
        <v>6</v>
      </c>
      <c r="C3" s="8">
        <f>DATE(2012,12,31)-315</f>
        <v>40959</v>
      </c>
      <c r="D3" t="s">
        <v>30</v>
      </c>
      <c r="E3" s="7">
        <v>2</v>
      </c>
      <c r="F3" s="7">
        <v>6.93</v>
      </c>
      <c r="G3" s="7">
        <v>0.01</v>
      </c>
      <c r="H3" t="s">
        <v>22</v>
      </c>
      <c r="I3" s="9">
        <v>-4.6399999999999997</v>
      </c>
      <c r="J3" s="10">
        <v>2.08</v>
      </c>
      <c r="K3" s="10">
        <v>2.56</v>
      </c>
      <c r="L3" t="s">
        <v>31</v>
      </c>
      <c r="M3" s="11" t="s">
        <v>32</v>
      </c>
      <c r="N3" s="11" t="s">
        <v>33</v>
      </c>
      <c r="O3" t="s">
        <v>34</v>
      </c>
      <c r="P3" t="s">
        <v>26</v>
      </c>
      <c r="Q3" t="s">
        <v>35</v>
      </c>
      <c r="R3" s="7" t="s">
        <v>36</v>
      </c>
      <c r="S3" t="s">
        <v>37</v>
      </c>
      <c r="T3" s="7">
        <v>0.55000000000000004</v>
      </c>
      <c r="U3" s="12">
        <f>C3+1</f>
        <v>40960</v>
      </c>
    </row>
    <row r="4" spans="1:21" x14ac:dyDescent="0.3">
      <c r="A4">
        <v>3</v>
      </c>
      <c r="B4" s="7">
        <v>32</v>
      </c>
      <c r="C4" s="8">
        <f>DATE(2012,12,31)-535</f>
        <v>40739</v>
      </c>
      <c r="D4" t="s">
        <v>38</v>
      </c>
      <c r="E4" s="7">
        <v>26</v>
      </c>
      <c r="F4" s="7">
        <v>2808.08</v>
      </c>
      <c r="G4" s="7">
        <v>7.0000000000000007E-2</v>
      </c>
      <c r="H4" t="s">
        <v>22</v>
      </c>
      <c r="I4" s="9">
        <v>1054.82</v>
      </c>
      <c r="J4" s="10">
        <v>107.53</v>
      </c>
      <c r="K4" s="10">
        <v>5.81</v>
      </c>
      <c r="L4" t="s">
        <v>39</v>
      </c>
      <c r="M4" s="11" t="s">
        <v>32</v>
      </c>
      <c r="N4" s="11" t="s">
        <v>33</v>
      </c>
      <c r="O4" t="s">
        <v>34</v>
      </c>
      <c r="P4" t="s">
        <v>40</v>
      </c>
      <c r="Q4" t="s">
        <v>41</v>
      </c>
      <c r="R4" s="7" t="s">
        <v>42</v>
      </c>
      <c r="S4" t="s">
        <v>43</v>
      </c>
      <c r="T4" s="7">
        <v>0.65</v>
      </c>
      <c r="U4" s="12">
        <f>C4+2</f>
        <v>40741</v>
      </c>
    </row>
    <row r="5" spans="1:21" x14ac:dyDescent="0.3">
      <c r="A5">
        <v>4</v>
      </c>
      <c r="B5" s="7">
        <v>32</v>
      </c>
      <c r="C5" s="8">
        <f>DATE(2012,12,31)-535</f>
        <v>40739</v>
      </c>
      <c r="D5" t="s">
        <v>38</v>
      </c>
      <c r="E5" s="7">
        <v>24</v>
      </c>
      <c r="F5" s="7">
        <v>1761.4</v>
      </c>
      <c r="G5" s="7">
        <v>0.09</v>
      </c>
      <c r="H5" t="s">
        <v>44</v>
      </c>
      <c r="I5" s="9">
        <v>-1748.56</v>
      </c>
      <c r="J5" s="10">
        <v>70.89</v>
      </c>
      <c r="K5" s="10">
        <v>89.3</v>
      </c>
      <c r="L5" t="s">
        <v>39</v>
      </c>
      <c r="M5" s="11" t="s">
        <v>32</v>
      </c>
      <c r="N5" s="11" t="s">
        <v>33</v>
      </c>
      <c r="O5" t="s">
        <v>34</v>
      </c>
      <c r="P5" t="s">
        <v>40</v>
      </c>
      <c r="Q5" t="s">
        <v>45</v>
      </c>
      <c r="R5" s="7" t="s">
        <v>46</v>
      </c>
      <c r="S5" t="s">
        <v>47</v>
      </c>
      <c r="T5" s="7">
        <v>0.72</v>
      </c>
      <c r="U5" s="12">
        <f>C5+1</f>
        <v>40740</v>
      </c>
    </row>
    <row r="6" spans="1:21" x14ac:dyDescent="0.3">
      <c r="A6">
        <v>5</v>
      </c>
      <c r="B6" s="7">
        <v>32</v>
      </c>
      <c r="C6" s="8">
        <f>DATE(2012,12,31)-535</f>
        <v>40739</v>
      </c>
      <c r="D6" t="s">
        <v>38</v>
      </c>
      <c r="E6" s="7">
        <v>23</v>
      </c>
      <c r="F6" s="7">
        <v>160.23349999999999</v>
      </c>
      <c r="G6" s="7">
        <v>0.04</v>
      </c>
      <c r="H6" t="s">
        <v>22</v>
      </c>
      <c r="I6" s="9">
        <v>-85.129000000000005</v>
      </c>
      <c r="J6" s="10">
        <v>7.99</v>
      </c>
      <c r="K6" s="10">
        <v>5.03</v>
      </c>
      <c r="L6" t="s">
        <v>39</v>
      </c>
      <c r="M6" s="11" t="s">
        <v>32</v>
      </c>
      <c r="N6" s="11" t="s">
        <v>33</v>
      </c>
      <c r="O6" t="s">
        <v>34</v>
      </c>
      <c r="P6" t="s">
        <v>48</v>
      </c>
      <c r="Q6" t="s">
        <v>49</v>
      </c>
      <c r="R6" s="7" t="s">
        <v>50</v>
      </c>
      <c r="S6" t="s">
        <v>43</v>
      </c>
      <c r="T6" s="7">
        <v>0.6</v>
      </c>
      <c r="U6" s="12">
        <f>C6+2</f>
        <v>40741</v>
      </c>
    </row>
    <row r="7" spans="1:21" x14ac:dyDescent="0.3">
      <c r="A7">
        <v>6</v>
      </c>
      <c r="B7" s="7">
        <v>32</v>
      </c>
      <c r="C7" s="8">
        <f>DATE(2012,12,31)-535</f>
        <v>40739</v>
      </c>
      <c r="D7" t="s">
        <v>38</v>
      </c>
      <c r="E7" s="7">
        <v>15</v>
      </c>
      <c r="F7" s="7">
        <v>140.56</v>
      </c>
      <c r="G7" s="7">
        <v>0.04</v>
      </c>
      <c r="H7" t="s">
        <v>22</v>
      </c>
      <c r="I7" s="9">
        <v>-128.38</v>
      </c>
      <c r="J7" s="10">
        <v>8.4600000000000009</v>
      </c>
      <c r="K7" s="10">
        <v>8.99</v>
      </c>
      <c r="L7" t="s">
        <v>39</v>
      </c>
      <c r="M7" s="11" t="s">
        <v>51</v>
      </c>
      <c r="N7" s="11" t="s">
        <v>52</v>
      </c>
      <c r="O7" t="s">
        <v>34</v>
      </c>
      <c r="P7" t="s">
        <v>48</v>
      </c>
      <c r="Q7" t="s">
        <v>53</v>
      </c>
      <c r="R7" s="7" t="s">
        <v>54</v>
      </c>
      <c r="S7" t="s">
        <v>37</v>
      </c>
      <c r="T7" s="7">
        <v>0.79</v>
      </c>
      <c r="U7" s="12">
        <f>C7+1</f>
        <v>40740</v>
      </c>
    </row>
    <row r="8" spans="1:21" x14ac:dyDescent="0.3">
      <c r="A8">
        <v>7</v>
      </c>
      <c r="B8" s="7">
        <v>35</v>
      </c>
      <c r="C8" s="8">
        <f>DATE(2012,12,31)-436</f>
        <v>40838</v>
      </c>
      <c r="D8" t="s">
        <v>30</v>
      </c>
      <c r="E8" s="7">
        <v>30</v>
      </c>
      <c r="F8" s="7">
        <v>288.56</v>
      </c>
      <c r="G8" s="7">
        <v>0.03</v>
      </c>
      <c r="H8" t="s">
        <v>22</v>
      </c>
      <c r="I8" s="9">
        <v>60.72</v>
      </c>
      <c r="J8" s="10">
        <v>9.11</v>
      </c>
      <c r="K8" s="10">
        <v>2.25</v>
      </c>
      <c r="L8" t="s">
        <v>55</v>
      </c>
      <c r="M8" s="11" t="s">
        <v>56</v>
      </c>
      <c r="N8" s="11" t="s">
        <v>33</v>
      </c>
      <c r="O8" t="s">
        <v>34</v>
      </c>
      <c r="P8" t="s">
        <v>26</v>
      </c>
      <c r="Q8" t="s">
        <v>57</v>
      </c>
      <c r="R8" s="7" t="s">
        <v>58</v>
      </c>
      <c r="S8" t="s">
        <v>59</v>
      </c>
      <c r="T8" s="7">
        <v>0.52</v>
      </c>
      <c r="U8" s="12">
        <f>C8+1</f>
        <v>40839</v>
      </c>
    </row>
    <row r="9" spans="1:21" x14ac:dyDescent="0.3">
      <c r="A9">
        <v>8</v>
      </c>
      <c r="B9" s="7">
        <v>35</v>
      </c>
      <c r="C9" s="8">
        <f>DATE(2012,12,31)-436</f>
        <v>40838</v>
      </c>
      <c r="D9" t="s">
        <v>30</v>
      </c>
      <c r="E9" s="7">
        <v>14</v>
      </c>
      <c r="F9" s="7">
        <v>1892.848</v>
      </c>
      <c r="G9" s="7">
        <v>0.01</v>
      </c>
      <c r="H9" t="s">
        <v>22</v>
      </c>
      <c r="I9" s="9">
        <v>48.987000000000002</v>
      </c>
      <c r="J9" s="10">
        <v>155.99</v>
      </c>
      <c r="K9" s="10">
        <v>8.99</v>
      </c>
      <c r="L9" t="s">
        <v>55</v>
      </c>
      <c r="M9" s="11" t="s">
        <v>56</v>
      </c>
      <c r="N9" s="11" t="s">
        <v>33</v>
      </c>
      <c r="O9" t="s">
        <v>34</v>
      </c>
      <c r="P9" t="s">
        <v>48</v>
      </c>
      <c r="Q9" t="s">
        <v>49</v>
      </c>
      <c r="R9" s="7" t="s">
        <v>60</v>
      </c>
      <c r="S9" t="s">
        <v>61</v>
      </c>
      <c r="T9" s="7">
        <v>0.57999999999999996</v>
      </c>
      <c r="U9" s="12">
        <f>C9+2</f>
        <v>40840</v>
      </c>
    </row>
    <row r="10" spans="1:21" x14ac:dyDescent="0.3">
      <c r="A10">
        <v>9</v>
      </c>
      <c r="B10" s="7">
        <v>36</v>
      </c>
      <c r="C10" s="8">
        <f>DATE(2012,12,31)-425</f>
        <v>40849</v>
      </c>
      <c r="D10" t="s">
        <v>62</v>
      </c>
      <c r="E10" s="7">
        <v>46</v>
      </c>
      <c r="F10" s="7">
        <v>2484.7455</v>
      </c>
      <c r="G10" s="7">
        <v>0.1</v>
      </c>
      <c r="H10" t="s">
        <v>22</v>
      </c>
      <c r="I10" s="9">
        <v>657.47699999999998</v>
      </c>
      <c r="J10" s="10">
        <v>65.989999999999995</v>
      </c>
      <c r="K10" s="10">
        <v>4.2</v>
      </c>
      <c r="L10" t="s">
        <v>63</v>
      </c>
      <c r="M10" s="11" t="s">
        <v>32</v>
      </c>
      <c r="N10" s="11" t="s">
        <v>33</v>
      </c>
      <c r="O10" t="s">
        <v>64</v>
      </c>
      <c r="P10" t="s">
        <v>48</v>
      </c>
      <c r="Q10" t="s">
        <v>49</v>
      </c>
      <c r="R10" s="7" t="s">
        <v>65</v>
      </c>
      <c r="S10" t="s">
        <v>61</v>
      </c>
      <c r="T10" s="7">
        <v>0.55000000000000004</v>
      </c>
      <c r="U10" s="12">
        <f>C10+0</f>
        <v>40849</v>
      </c>
    </row>
    <row r="11" spans="1:21" x14ac:dyDescent="0.3">
      <c r="A11">
        <v>10</v>
      </c>
      <c r="B11" s="7">
        <v>65</v>
      </c>
      <c r="C11" s="8">
        <f>DATE(2012,12,31)-655</f>
        <v>40619</v>
      </c>
      <c r="D11" t="s">
        <v>62</v>
      </c>
      <c r="E11" s="7">
        <v>32</v>
      </c>
      <c r="F11" s="7">
        <v>3812.73</v>
      </c>
      <c r="G11" s="7">
        <v>0.02</v>
      </c>
      <c r="H11" t="s">
        <v>22</v>
      </c>
      <c r="I11" s="9">
        <v>1470.3</v>
      </c>
      <c r="J11" s="10">
        <v>115.79</v>
      </c>
      <c r="K11" s="10">
        <v>1.99</v>
      </c>
      <c r="L11" t="s">
        <v>66</v>
      </c>
      <c r="M11" s="11" t="s">
        <v>67</v>
      </c>
      <c r="N11" s="11" t="s">
        <v>67</v>
      </c>
      <c r="O11" t="s">
        <v>34</v>
      </c>
      <c r="P11" t="s">
        <v>48</v>
      </c>
      <c r="Q11" t="s">
        <v>53</v>
      </c>
      <c r="R11" s="7" t="s">
        <v>68</v>
      </c>
      <c r="S11" t="s">
        <v>37</v>
      </c>
      <c r="T11" s="7">
        <v>0.49</v>
      </c>
      <c r="U11" s="12">
        <f>C11+1</f>
        <v>40620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NITHISH KUMAR S</dc:creator>
  <cp:lastModifiedBy>NITHISH KUMAR S</cp:lastModifiedBy>
  <dcterms:created xsi:type="dcterms:W3CDTF">2026-09-29T03:23:54Z</dcterms:created>
  <dcterms:modified xsi:type="dcterms:W3CDTF">2026-09-29T03:25:39Z</dcterms:modified>
</cp:coreProperties>
</file>